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9C87329-0C88-478E-A4CB-C5D435E7F701}" xr6:coauthVersionLast="47" xr6:coauthVersionMax="47" xr10:uidLastSave="{00000000-0000-0000-0000-000000000000}"/>
  <bookViews>
    <workbookView xWindow="-108" yWindow="-108" windowWidth="23256" windowHeight="12456" xr2:uid="{35C05F3F-9D4A-4729-854C-DF9578CBA6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K11" i="1" s="1"/>
  <c r="N11" i="1" s="1"/>
  <c r="J10" i="1"/>
  <c r="K10" i="1" s="1"/>
  <c r="N10" i="1" s="1"/>
  <c r="O10" i="1" s="1"/>
  <c r="P10" i="1" s="1"/>
  <c r="C11" i="1"/>
  <c r="Q11" i="1" s="1"/>
  <c r="C10" i="1"/>
  <c r="Q10" i="1" s="1"/>
  <c r="C9" i="1"/>
  <c r="Q9" i="1" s="1"/>
  <c r="J9" i="1"/>
  <c r="K9" i="1" s="1"/>
  <c r="N9" i="1" s="1"/>
  <c r="R9" i="1" s="1"/>
  <c r="J8" i="1"/>
  <c r="K8" i="1" s="1"/>
  <c r="N8" i="1" s="1"/>
  <c r="R8" i="1" s="1"/>
  <c r="J7" i="1"/>
  <c r="K7" i="1" s="1"/>
  <c r="N7" i="1" s="1"/>
  <c r="R7" i="1" s="1"/>
  <c r="J6" i="1"/>
  <c r="K6" i="1" s="1"/>
  <c r="N6" i="1" s="1"/>
  <c r="J5" i="1"/>
  <c r="K5" i="1" s="1"/>
  <c r="N5" i="1" s="1"/>
  <c r="R5" i="1" s="1"/>
  <c r="J4" i="1"/>
  <c r="K4" i="1" s="1"/>
  <c r="J3" i="1"/>
  <c r="K3" i="1" s="1"/>
  <c r="J2" i="1"/>
  <c r="K2" i="1" s="1"/>
  <c r="N2" i="1" s="1"/>
  <c r="R2" i="1" s="1"/>
  <c r="C8" i="1"/>
  <c r="C7" i="1"/>
  <c r="C6" i="1"/>
  <c r="Q6" i="1" s="1"/>
  <c r="C5" i="1"/>
  <c r="Q5" i="1" s="1"/>
  <c r="C4" i="1"/>
  <c r="Q4" i="1" s="1"/>
  <c r="C3" i="1"/>
  <c r="Q3" i="1" s="1"/>
  <c r="C2" i="1"/>
  <c r="Q2" i="1" s="1"/>
  <c r="O11" i="1" l="1"/>
  <c r="P11" i="1" s="1"/>
  <c r="R11" i="1"/>
  <c r="S11" i="1" s="1"/>
  <c r="S2" i="1"/>
  <c r="O2" i="1"/>
  <c r="P2" i="1" s="1"/>
  <c r="R10" i="1"/>
  <c r="S10" i="1" s="1"/>
  <c r="N4" i="1"/>
  <c r="O4" i="1" s="1"/>
  <c r="P4" i="1" s="1"/>
  <c r="S9" i="1"/>
  <c r="O8" i="1"/>
  <c r="P8" i="1" s="1"/>
  <c r="O7" i="1"/>
  <c r="P7" i="1" s="1"/>
  <c r="R6" i="1"/>
  <c r="S6" i="1" s="1"/>
  <c r="O6" i="1"/>
  <c r="P6" i="1" s="1"/>
  <c r="S5" i="1"/>
  <c r="N3" i="1"/>
  <c r="O9" i="1"/>
  <c r="P9" i="1" s="1"/>
  <c r="Q8" i="1"/>
  <c r="S8" i="1" s="1"/>
  <c r="Q7" i="1"/>
  <c r="S7" i="1" s="1"/>
  <c r="O5" i="1"/>
  <c r="P5" i="1" s="1"/>
  <c r="R4" i="1" l="1"/>
  <c r="S4" i="1" s="1"/>
  <c r="R3" i="1"/>
  <c r="S3" i="1" s="1"/>
  <c r="O3" i="1"/>
  <c r="P3" i="1" s="1"/>
</calcChain>
</file>

<file path=xl/sharedStrings.xml><?xml version="1.0" encoding="utf-8"?>
<sst xmlns="http://schemas.openxmlformats.org/spreadsheetml/2006/main" count="19" uniqueCount="19">
  <si>
    <t>Armature Voltage( volts)</t>
  </si>
  <si>
    <t>Armature resistance (ohm)</t>
  </si>
  <si>
    <t>Laf (H)</t>
  </si>
  <si>
    <t>Lf (H)</t>
  </si>
  <si>
    <t>rated torque(N.m)</t>
  </si>
  <si>
    <t>Jm ( Kg.m^2)</t>
  </si>
  <si>
    <t>Field Resistance (Ohm)</t>
  </si>
  <si>
    <t>Field current (A)</t>
  </si>
  <si>
    <t>La (mH)</t>
  </si>
  <si>
    <t>Rated speed (rpm)</t>
  </si>
  <si>
    <t>rated speed ( rad /sec)</t>
  </si>
  <si>
    <t>Armtaure current(A)</t>
  </si>
  <si>
    <t>Pout ( watt )</t>
  </si>
  <si>
    <t>Bm</t>
  </si>
  <si>
    <t>Pinput(watt)</t>
  </si>
  <si>
    <t>Efficiency  %</t>
  </si>
  <si>
    <t>Pfield Loss( watt)</t>
  </si>
  <si>
    <t>P total loss(watt)</t>
  </si>
  <si>
    <t>Parmature loss(watt)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</si>
</sst>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  <a:r>
              <a:rPr lang="en-US" baseline="0"/>
              <a:t> vs. Pinput and Poutput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Pinput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Sheet1!$P$2:$P$9</c:f>
              <c:numCache>
                <c:formatCode>General</c:formatCode>
                <c:ptCount val="8"/>
                <c:pt idx="0">
                  <c:v>87.624274582934305</c:v>
                </c:pt>
                <c:pt idx="1">
                  <c:v>89.281052915343977</c:v>
                </c:pt>
                <c:pt idx="2">
                  <c:v>89.836168218828178</c:v>
                </c:pt>
                <c:pt idx="3">
                  <c:v>90.08808507988401</c:v>
                </c:pt>
                <c:pt idx="4">
                  <c:v>90.222587744196119</c:v>
                </c:pt>
                <c:pt idx="5">
                  <c:v>90.302200590596797</c:v>
                </c:pt>
                <c:pt idx="6">
                  <c:v>90.352825033846358</c:v>
                </c:pt>
                <c:pt idx="7">
                  <c:v>90.386761903664421</c:v>
                </c:pt>
              </c:numCache>
            </c:numRef>
          </c:cat>
          <c:val>
            <c:numRef>
              <c:f>Sheet1!$O$2:$O$8</c:f>
              <c:numCache>
                <c:formatCode>General</c:formatCode>
                <c:ptCount val="7"/>
                <c:pt idx="0">
                  <c:v>143.41197886283669</c:v>
                </c:pt>
                <c:pt idx="1">
                  <c:v>328.41829790366967</c:v>
                </c:pt>
                <c:pt idx="2">
                  <c:v>582.83738719007522</c:v>
                </c:pt>
                <c:pt idx="3">
                  <c:v>906.68381863045579</c:v>
                </c:pt>
                <c:pt idx="4">
                  <c:v>1299.9641072871327</c:v>
                </c:pt>
                <c:pt idx="5">
                  <c:v>1762.6816040013282</c:v>
                </c:pt>
                <c:pt idx="6">
                  <c:v>2294.8382085369708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0A-4AC4-B32C-03893E1066E2}"/>
            </c:ext>
          </c:extLst>
        </c:ser>
        <c:ser>
          <c:idx val="1"/>
          <c:order val="1"/>
          <c:tx>
            <c:v>Poutput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Sheet1!$P$2:$P$9</c:f>
              <c:numCache>
                <c:formatCode>General</c:formatCode>
                <c:ptCount val="8"/>
                <c:pt idx="0">
                  <c:v>87.624274582934305</c:v>
                </c:pt>
                <c:pt idx="1">
                  <c:v>89.281052915343977</c:v>
                </c:pt>
                <c:pt idx="2">
                  <c:v>89.836168218828178</c:v>
                </c:pt>
                <c:pt idx="3">
                  <c:v>90.08808507988401</c:v>
                </c:pt>
                <c:pt idx="4">
                  <c:v>90.222587744196119</c:v>
                </c:pt>
                <c:pt idx="5">
                  <c:v>90.302200590596797</c:v>
                </c:pt>
                <c:pt idx="6">
                  <c:v>90.352825033846358</c:v>
                </c:pt>
                <c:pt idx="7">
                  <c:v>90.386761903664421</c:v>
                </c:pt>
              </c:numCache>
            </c:numRef>
          </c:cat>
          <c:val>
            <c:numRef>
              <c:f>Sheet1!$K$2:$K$9</c:f>
              <c:numCache>
                <c:formatCode>General</c:formatCode>
                <c:ptCount val="8"/>
                <c:pt idx="0">
                  <c:v>125.66370614359172</c:v>
                </c:pt>
                <c:pt idx="1">
                  <c:v>293.21531433504737</c:v>
                </c:pt>
                <c:pt idx="2">
                  <c:v>523.59877559829886</c:v>
                </c:pt>
                <c:pt idx="3">
                  <c:v>816.81408993334617</c:v>
                </c:pt>
                <c:pt idx="4">
                  <c:v>1172.8612573401892</c:v>
                </c:pt>
                <c:pt idx="5">
                  <c:v>1591.7402778188286</c:v>
                </c:pt>
                <c:pt idx="6">
                  <c:v>2073.4511513692632</c:v>
                </c:pt>
                <c:pt idx="7">
                  <c:v>2617.9938779914942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0A-4AC4-B32C-03893E106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2936351"/>
        <c:axId val="699506191"/>
      </c:lineChart>
      <c:catAx>
        <c:axId val="662936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layout>
            <c:manualLayout>
              <c:xMode val="edge"/>
              <c:yMode val="edge"/>
              <c:x val="0.41779024496937883"/>
              <c:y val="0.90182852143482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506191"/>
        <c:crosses val="autoZero"/>
        <c:auto val="1"/>
        <c:lblAlgn val="ctr"/>
        <c:lblOffset val="100"/>
        <c:noMultiLvlLbl val="0"/>
      </c:catAx>
      <c:valAx>
        <c:axId val="69950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36351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 b="1" i="0" u="none" strike="noStrike" cap="none" normalizeH="0" baseline="0"/>
              <a:t>Efficiency vs Armature Voltage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Sheet1!$P$2:$P$11</c:f>
              <c:numCache>
                <c:formatCode>General</c:formatCode>
                <c:ptCount val="10"/>
                <c:pt idx="0">
                  <c:v>87.624274582934305</c:v>
                </c:pt>
                <c:pt idx="1">
                  <c:v>89.281052915343977</c:v>
                </c:pt>
                <c:pt idx="2">
                  <c:v>89.836168218828178</c:v>
                </c:pt>
                <c:pt idx="3">
                  <c:v>90.08808507988401</c:v>
                </c:pt>
                <c:pt idx="4">
                  <c:v>90.222587744196119</c:v>
                </c:pt>
                <c:pt idx="5">
                  <c:v>90.302200590596797</c:v>
                </c:pt>
                <c:pt idx="6">
                  <c:v>90.352825033846358</c:v>
                </c:pt>
                <c:pt idx="7">
                  <c:v>90.386761903664421</c:v>
                </c:pt>
                <c:pt idx="8">
                  <c:v>90.418945371422879</c:v>
                </c:pt>
                <c:pt idx="9">
                  <c:v>90.371511852078498</c:v>
                </c:pt>
              </c:numCache>
            </c:numRef>
          </c:cat>
          <c:val>
            <c:numRef>
              <c:f>Sheet1!$A$2:$A$11</c:f>
              <c:numCache>
                <c:formatCode>General</c:formatCode>
                <c:ptCount val="10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  <c:pt idx="8">
                  <c:v>220</c:v>
                </c:pt>
                <c:pt idx="9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5C-4905-99F1-22AAB30FD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564767"/>
        <c:axId val="1178231423"/>
      </c:lineChart>
      <c:catAx>
        <c:axId val="117656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231423"/>
        <c:crosses val="autoZero"/>
        <c:auto val="1"/>
        <c:lblAlgn val="ctr"/>
        <c:lblOffset val="100"/>
        <c:noMultiLvlLbl val="0"/>
      </c:catAx>
      <c:valAx>
        <c:axId val="117823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</a:t>
                </a:r>
                <a:r>
                  <a:rPr lang="en-US" baseline="0"/>
                  <a:t> armature (volt)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56476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Torque vs.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>
                <a:glow rad="25400">
                  <a:schemeClr val="lt1"/>
                </a:glow>
              </a:effectLst>
            </c:spPr>
          </c:errBars>
          <c:cat>
            <c:numRef>
              <c:f>Sheet1!$J$2:$J$11</c:f>
              <c:numCache>
                <c:formatCode>General</c:formatCode>
                <c:ptCount val="10"/>
                <c:pt idx="0">
                  <c:v>31.415926535897931</c:v>
                </c:pt>
                <c:pt idx="1">
                  <c:v>41.887902047863911</c:v>
                </c:pt>
                <c:pt idx="2">
                  <c:v>52.359877559829883</c:v>
                </c:pt>
                <c:pt idx="3">
                  <c:v>62.831853071795862</c:v>
                </c:pt>
                <c:pt idx="4">
                  <c:v>73.303828583761828</c:v>
                </c:pt>
                <c:pt idx="5">
                  <c:v>83.775804095727821</c:v>
                </c:pt>
                <c:pt idx="6">
                  <c:v>94.247779607693786</c:v>
                </c:pt>
                <c:pt idx="7">
                  <c:v>104.71975511965977</c:v>
                </c:pt>
                <c:pt idx="8">
                  <c:v>115.19173063162575</c:v>
                </c:pt>
                <c:pt idx="9">
                  <c:v>127.75810124598493</c:v>
                </c:pt>
              </c:numCache>
            </c:numRef>
          </c:cat>
          <c:val>
            <c:numRef>
              <c:f>Sheet1!$H$2:$H$11</c:f>
              <c:numCache>
                <c:formatCode>General</c:formatCode>
                <c:ptCount val="10"/>
                <c:pt idx="0">
                  <c:v>4</c:v>
                </c:pt>
                <c:pt idx="1">
                  <c:v>7</c:v>
                </c:pt>
                <c:pt idx="2">
                  <c:v>10</c:v>
                </c:pt>
                <c:pt idx="3">
                  <c:v>13</c:v>
                </c:pt>
                <c:pt idx="4">
                  <c:v>16</c:v>
                </c:pt>
                <c:pt idx="5">
                  <c:v>19</c:v>
                </c:pt>
                <c:pt idx="6">
                  <c:v>22</c:v>
                </c:pt>
                <c:pt idx="7">
                  <c:v>25</c:v>
                </c:pt>
                <c:pt idx="8">
                  <c:v>28.2</c:v>
                </c:pt>
                <c:pt idx="9">
                  <c:v>29.2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E1-413C-B585-62213F54B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079157807"/>
        <c:axId val="1079160207"/>
      </c:lineChart>
      <c:catAx>
        <c:axId val="1079157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[</a:t>
                </a:r>
                <a:r>
                  <a:rPr lang="en-US" baseline="0"/>
                  <a:t> rad/sec 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160207"/>
        <c:crosses val="autoZero"/>
        <c:auto val="1"/>
        <c:lblAlgn val="ctr"/>
        <c:lblOffset val="100"/>
        <c:noMultiLvlLbl val="0"/>
      </c:catAx>
      <c:valAx>
        <c:axId val="10791602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Torque</a:t>
                </a:r>
                <a:r>
                  <a:rPr lang="en-US" baseline="0"/>
                  <a:t> [ N.m 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15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cap="none" baseline="0"/>
              <a:t>Output Power vs. Speed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Sheet1!$J$2:$J$11</c:f>
              <c:numCache>
                <c:formatCode>General</c:formatCode>
                <c:ptCount val="10"/>
                <c:pt idx="0">
                  <c:v>31.415926535897931</c:v>
                </c:pt>
                <c:pt idx="1">
                  <c:v>41.887902047863911</c:v>
                </c:pt>
                <c:pt idx="2">
                  <c:v>52.359877559829883</c:v>
                </c:pt>
                <c:pt idx="3">
                  <c:v>62.831853071795862</c:v>
                </c:pt>
                <c:pt idx="4">
                  <c:v>73.303828583761828</c:v>
                </c:pt>
                <c:pt idx="5">
                  <c:v>83.775804095727821</c:v>
                </c:pt>
                <c:pt idx="6">
                  <c:v>94.247779607693786</c:v>
                </c:pt>
                <c:pt idx="7">
                  <c:v>104.71975511965977</c:v>
                </c:pt>
                <c:pt idx="8">
                  <c:v>115.19173063162575</c:v>
                </c:pt>
                <c:pt idx="9">
                  <c:v>127.75810124598493</c:v>
                </c:pt>
              </c:numCache>
            </c:numRef>
          </c:cat>
          <c:val>
            <c:numRef>
              <c:f>Sheet1!$K$2:$K$11</c:f>
              <c:numCache>
                <c:formatCode>General</c:formatCode>
                <c:ptCount val="10"/>
                <c:pt idx="0">
                  <c:v>125.66370614359172</c:v>
                </c:pt>
                <c:pt idx="1">
                  <c:v>293.21531433504737</c:v>
                </c:pt>
                <c:pt idx="2">
                  <c:v>523.59877559829886</c:v>
                </c:pt>
                <c:pt idx="3">
                  <c:v>816.81408993334617</c:v>
                </c:pt>
                <c:pt idx="4">
                  <c:v>1172.8612573401892</c:v>
                </c:pt>
                <c:pt idx="5">
                  <c:v>1591.7402778188286</c:v>
                </c:pt>
                <c:pt idx="6">
                  <c:v>2073.4511513692632</c:v>
                </c:pt>
                <c:pt idx="7">
                  <c:v>2617.9938779914942</c:v>
                </c:pt>
                <c:pt idx="8">
                  <c:v>3248.4068038118457</c:v>
                </c:pt>
                <c:pt idx="9">
                  <c:v>3730.53655638276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0-4B6E-986C-B16C7FC39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6553631"/>
        <c:axId val="1046553151"/>
      </c:lineChart>
      <c:catAx>
        <c:axId val="1046553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</a:t>
                </a:r>
                <a:r>
                  <a:rPr lang="en-US" baseline="0"/>
                  <a:t> [ rad/sec]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0327646544181983"/>
              <c:y val="0.888958151064450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553151"/>
        <c:crosses val="autoZero"/>
        <c:auto val="1"/>
        <c:lblAlgn val="ctr"/>
        <c:lblOffset val="100"/>
        <c:noMultiLvlLbl val="0"/>
      </c:catAx>
      <c:valAx>
        <c:axId val="104655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</a:t>
                </a:r>
                <a:r>
                  <a:rPr lang="en-US" baseline="0"/>
                  <a:t> Power [ watt]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3333333333333333E-2"/>
              <c:y val="0.423140492855059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55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Losses (Armature + Field) vs Voltage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688166133328555"/>
          <c:y val="7.6004557125509978E-2"/>
          <c:w val="0.81465808619397506"/>
          <c:h val="0.92271731881650731"/>
        </c:manualLayout>
      </c:layout>
      <c:barChart>
        <c:barDir val="bar"/>
        <c:grouping val="stacked"/>
        <c:varyColors val="0"/>
        <c:ser>
          <c:idx val="1"/>
          <c:order val="0"/>
          <c:tx>
            <c:v>Parmature loss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Sheet1!$A$2:$A$11</c:f>
              <c:numCache>
                <c:formatCode>General</c:formatCode>
                <c:ptCount val="10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  <c:pt idx="8">
                  <c:v>220</c:v>
                </c:pt>
                <c:pt idx="9">
                  <c:v>240</c:v>
                </c:pt>
              </c:numCache>
            </c:numRef>
          </c:cat>
          <c:val>
            <c:numRef>
              <c:f>Sheet1!$R$2:$R$11</c:f>
              <c:numCache>
                <c:formatCode>General</c:formatCode>
                <c:ptCount val="10"/>
                <c:pt idx="0">
                  <c:v>2.7482727192449357</c:v>
                </c:pt>
                <c:pt idx="1">
                  <c:v>8.5363169019555212</c:v>
                </c:pt>
                <c:pt idx="2">
                  <c:v>17.571944925109509</c:v>
                </c:pt>
                <c:pt idx="3">
                  <c:v>29.869728697110432</c:v>
                </c:pt>
                <c:pt idx="4">
                  <c:v>45.436183280276872</c:v>
                </c:pt>
                <c:pt idx="5">
                  <c:v>64.274659515832568</c:v>
                </c:pt>
                <c:pt idx="6">
                  <c:v>86.387057167707255</c:v>
                </c:pt>
                <c:pt idx="7">
                  <c:v>111.77453372399546</c:v>
                </c:pt>
                <c:pt idx="8">
                  <c:v>142.54397320880534</c:v>
                </c:pt>
                <c:pt idx="9">
                  <c:v>157.46404903918094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C0-4E66-82C5-91B2572B66CE}"/>
            </c:ext>
          </c:extLst>
        </c:ser>
        <c:ser>
          <c:idx val="0"/>
          <c:order val="1"/>
          <c:tx>
            <c:v>Pfield loss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495-4AE8-BD93-1A3EADE3CE98}"/>
              </c:ext>
            </c:extLst>
          </c:dPt>
          <c:cat>
            <c:numRef>
              <c:f>Sheet1!$A$2:$A$11</c:f>
              <c:numCache>
                <c:formatCode>General</c:formatCode>
                <c:ptCount val="10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  <c:pt idx="8">
                  <c:v>220</c:v>
                </c:pt>
                <c:pt idx="9">
                  <c:v>240</c:v>
                </c:pt>
              </c:numCache>
            </c:numRef>
          </c:cat>
          <c:val>
            <c:numRef>
              <c:f>Sheet1!$Q$2:$Q$11</c:f>
              <c:numCache>
                <c:formatCode>General</c:formatCode>
                <c:ptCount val="10"/>
                <c:pt idx="0">
                  <c:v>15</c:v>
                </c:pt>
                <c:pt idx="1">
                  <c:v>26.666666666666664</c:v>
                </c:pt>
                <c:pt idx="2">
                  <c:v>41.666666666666671</c:v>
                </c:pt>
                <c:pt idx="3">
                  <c:v>60</c:v>
                </c:pt>
                <c:pt idx="4">
                  <c:v>81.666666666666686</c:v>
                </c:pt>
                <c:pt idx="5">
                  <c:v>106.66666666666666</c:v>
                </c:pt>
                <c:pt idx="6">
                  <c:v>135</c:v>
                </c:pt>
                <c:pt idx="7">
                  <c:v>166.66666666666669</c:v>
                </c:pt>
                <c:pt idx="8">
                  <c:v>201.66666666666663</c:v>
                </c:pt>
                <c:pt idx="9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C0-4E66-82C5-91B2572B6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1715471"/>
        <c:axId val="1171715951"/>
      </c:barChart>
      <c:catAx>
        <c:axId val="1171715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</a:t>
                </a:r>
                <a:r>
                  <a:rPr lang="en-US" baseline="0"/>
                  <a:t> [volt]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715951"/>
        <c:crosses val="autoZero"/>
        <c:auto val="1"/>
        <c:lblAlgn val="ctr"/>
        <c:lblOffset val="100"/>
        <c:noMultiLvlLbl val="0"/>
      </c:catAx>
      <c:valAx>
        <c:axId val="117171595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7171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626403521034832"/>
          <c:y val="0.52188577267025749"/>
          <c:w val="0.22934645531074699"/>
          <c:h val="0.188816471334736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617220</xdr:colOff>
      <xdr:row>12</xdr:row>
      <xdr:rowOff>171450</xdr:rowOff>
    </xdr:from>
    <xdr:to>
      <xdr:col>2</xdr:col>
      <xdr:colOff>1219200</xdr:colOff>
      <xdr:row>27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BD3A016-8D92-0A52-DE96-13449BF7E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563880</xdr:colOff>
      <xdr:row>28</xdr:row>
      <xdr:rowOff>156210</xdr:rowOff>
    </xdr:from>
    <xdr:to>
      <xdr:col>2</xdr:col>
      <xdr:colOff>1165860</xdr:colOff>
      <xdr:row>43</xdr:row>
      <xdr:rowOff>156210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9D2C56-6BD8-4C43-492B-E1DC25A90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167640</xdr:colOff>
      <xdr:row>12</xdr:row>
      <xdr:rowOff>163830</xdr:rowOff>
    </xdr:from>
    <xdr:to>
      <xdr:col>6</xdr:col>
      <xdr:colOff>1996440</xdr:colOff>
      <xdr:row>27</xdr:row>
      <xdr:rowOff>163830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E935F04-9414-2C5E-6D99-F1943DF8C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106680</xdr:colOff>
      <xdr:row>28</xdr:row>
      <xdr:rowOff>118110</xdr:rowOff>
    </xdr:from>
    <xdr:to>
      <xdr:col>6</xdr:col>
      <xdr:colOff>1935480</xdr:colOff>
      <xdr:row>43</xdr:row>
      <xdr:rowOff>118110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3285987-A20E-A7EE-A4AA-F6D82FE87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832989</xdr:colOff>
      <xdr:row>13</xdr:row>
      <xdr:rowOff>64358</xdr:rowOff>
    </xdr:from>
    <xdr:to>
      <xdr:col>13</xdr:col>
      <xdr:colOff>544286</xdr:colOff>
      <xdr:row>35</xdr:row>
      <xdr:rowOff>96762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F328BCB-1376-F109-A67F-1935C2B7E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7C0A2-B4E0-4F01-A3EB-8D7D0D749489}">
  <dimension ref="A1:S11"/>
  <sheetViews>
    <sheetView tabSelected="1" topLeftCell="E1" zoomScale="92" zoomScaleNormal="87" workbookViewId="0">
      <selection activeCell="G50" sqref="G50"/>
    </sheetView>
  </sheetViews>
  <sheetFormatPr defaultRowHeight="14.4" x14ac:dyDescent="0.3"/>
  <cols>
    <col min="1" max="1" width="25.6640625" customWidth="1"/>
    <col min="2" max="2" width="32.21875" customWidth="1"/>
    <col min="3" max="3" width="18.33203125" bestFit="1" customWidth="1"/>
    <col min="5" max="5" width="22.21875" customWidth="1"/>
    <col min="6" max="6" width="10.33203125" customWidth="1"/>
    <col min="7" max="7" width="32" customWidth="1"/>
    <col min="8" max="8" width="19" customWidth="1"/>
    <col min="9" max="9" width="22.33203125" customWidth="1"/>
    <col min="10" max="10" width="21.44140625" customWidth="1"/>
    <col min="11" max="11" width="18.5546875" customWidth="1"/>
    <col min="12" max="12" width="14.33203125" customWidth="1"/>
    <col min="13" max="13" width="18.44140625" customWidth="1"/>
    <col min="14" max="14" width="25.6640625" customWidth="1"/>
    <col min="15" max="15" width="16.109375" customWidth="1"/>
    <col min="16" max="16" width="19.5546875" customWidth="1"/>
    <col min="17" max="17" width="18.88671875" customWidth="1"/>
    <col min="18" max="18" width="20" customWidth="1"/>
    <col min="19" max="19" width="16.88671875" customWidth="1"/>
  </cols>
  <sheetData>
    <row r="1" spans="1:19" x14ac:dyDescent="0.3">
      <c r="A1" t="s">
        <v>0</v>
      </c>
      <c r="B1" t="s">
        <v>6</v>
      </c>
      <c r="C1" t="s">
        <v>7</v>
      </c>
      <c r="D1" t="s">
        <v>2</v>
      </c>
      <c r="E1" t="s">
        <v>3</v>
      </c>
      <c r="F1" t="s">
        <v>8</v>
      </c>
      <c r="G1" t="s">
        <v>1</v>
      </c>
      <c r="H1" t="s">
        <v>4</v>
      </c>
      <c r="I1" t="s">
        <v>9</v>
      </c>
      <c r="J1" t="s">
        <v>10</v>
      </c>
      <c r="K1" t="s">
        <v>12</v>
      </c>
      <c r="L1" t="s">
        <v>5</v>
      </c>
      <c r="M1" t="s">
        <v>13</v>
      </c>
      <c r="N1" t="s">
        <v>11</v>
      </c>
      <c r="O1" t="s">
        <v>14</v>
      </c>
      <c r="P1" t="s">
        <v>15</v>
      </c>
      <c r="Q1" t="s">
        <v>16</v>
      </c>
      <c r="R1" t="s">
        <v>18</v>
      </c>
      <c r="S1" t="s">
        <v>17</v>
      </c>
    </row>
    <row r="2" spans="1:19" x14ac:dyDescent="0.3">
      <c r="A2">
        <v>60</v>
      </c>
      <c r="B2">
        <v>240</v>
      </c>
      <c r="C2">
        <f xml:space="preserve"> A2 / B2</f>
        <v>0.25</v>
      </c>
      <c r="D2">
        <v>1.8</v>
      </c>
      <c r="E2">
        <v>120</v>
      </c>
      <c r="F2">
        <v>12</v>
      </c>
      <c r="G2">
        <v>0.6</v>
      </c>
      <c r="H2">
        <v>4</v>
      </c>
      <c r="I2">
        <v>300</v>
      </c>
      <c r="J2">
        <f t="shared" ref="J2:J11" si="0">I2 * 2 * PI() / 60</f>
        <v>31.415926535897931</v>
      </c>
      <c r="K2">
        <f t="shared" ref="K2:K7" si="1">H2 * J2</f>
        <v>125.66370614359172</v>
      </c>
      <c r="L2">
        <v>1</v>
      </c>
      <c r="M2">
        <v>0</v>
      </c>
      <c r="N2">
        <f>(A2 - SQRT(A2^2 - 4*G2*K2)) / (2*G2)</f>
        <v>2.1401996477139447</v>
      </c>
      <c r="O2">
        <f t="shared" ref="O2:O11" si="2">A2 *(C2+N2)</f>
        <v>143.41197886283669</v>
      </c>
      <c r="P2">
        <f t="shared" ref="P2:P11" si="3" xml:space="preserve"> (K2 / O2 )* 100</f>
        <v>87.624274582934305</v>
      </c>
      <c r="Q2">
        <f t="shared" ref="Q2:Q8" si="4" xml:space="preserve"> (C2^2 )*B2</f>
        <v>15</v>
      </c>
      <c r="R2">
        <f t="shared" ref="R2:R11" si="5" xml:space="preserve"> (N2^2)*G2</f>
        <v>2.7482727192449357</v>
      </c>
      <c r="S2">
        <f t="shared" ref="S2:S11" si="6" xml:space="preserve"> Q2 + R2</f>
        <v>17.748272719244937</v>
      </c>
    </row>
    <row r="3" spans="1:19" x14ac:dyDescent="0.3">
      <c r="A3">
        <v>80</v>
      </c>
      <c r="B3">
        <v>240</v>
      </c>
      <c r="C3">
        <f>A3/B3</f>
        <v>0.33333333333333331</v>
      </c>
      <c r="D3">
        <v>1.8</v>
      </c>
      <c r="E3">
        <v>120</v>
      </c>
      <c r="F3">
        <v>12</v>
      </c>
      <c r="G3">
        <v>0.6</v>
      </c>
      <c r="H3">
        <v>7</v>
      </c>
      <c r="I3">
        <v>400</v>
      </c>
      <c r="J3">
        <f t="shared" si="0"/>
        <v>41.887902047863911</v>
      </c>
      <c r="K3">
        <f t="shared" si="1"/>
        <v>293.21531433504737</v>
      </c>
      <c r="L3">
        <v>1</v>
      </c>
      <c r="M3">
        <v>0</v>
      </c>
      <c r="N3">
        <f>(A3 - SQRT(A3^2 - 4*G3*K3)) / (2*G3)</f>
        <v>3.7718953904625372</v>
      </c>
      <c r="O3">
        <f t="shared" si="2"/>
        <v>328.41829790366967</v>
      </c>
      <c r="P3">
        <f t="shared" si="3"/>
        <v>89.281052915343977</v>
      </c>
      <c r="Q3">
        <f t="shared" si="4"/>
        <v>26.666666666666664</v>
      </c>
      <c r="R3">
        <f t="shared" si="5"/>
        <v>8.5363169019555212</v>
      </c>
      <c r="S3">
        <f t="shared" si="6"/>
        <v>35.202983568622187</v>
      </c>
    </row>
    <row r="4" spans="1:19" x14ac:dyDescent="0.3">
      <c r="A4">
        <v>100</v>
      </c>
      <c r="B4">
        <v>240</v>
      </c>
      <c r="C4">
        <f>A4 /B4</f>
        <v>0.41666666666666669</v>
      </c>
      <c r="D4">
        <v>1.8</v>
      </c>
      <c r="E4">
        <v>120</v>
      </c>
      <c r="F4">
        <v>12</v>
      </c>
      <c r="G4">
        <v>0.6</v>
      </c>
      <c r="H4">
        <v>10</v>
      </c>
      <c r="I4">
        <v>500</v>
      </c>
      <c r="J4">
        <f t="shared" si="0"/>
        <v>52.359877559829883</v>
      </c>
      <c r="K4">
        <f t="shared" si="1"/>
        <v>523.59877559829886</v>
      </c>
      <c r="L4">
        <v>1</v>
      </c>
      <c r="M4">
        <v>0</v>
      </c>
      <c r="N4">
        <f>(A4 - SQRT(A4^2 - 4*G4*K4)) / (2*G4)</f>
        <v>5.4117072052340855</v>
      </c>
      <c r="O4">
        <f t="shared" si="2"/>
        <v>582.83738719007522</v>
      </c>
      <c r="P4">
        <f t="shared" si="3"/>
        <v>89.836168218828178</v>
      </c>
      <c r="Q4">
        <f t="shared" si="4"/>
        <v>41.666666666666671</v>
      </c>
      <c r="R4">
        <f t="shared" si="5"/>
        <v>17.571944925109509</v>
      </c>
      <c r="S4">
        <f t="shared" si="6"/>
        <v>59.238611591776177</v>
      </c>
    </row>
    <row r="5" spans="1:19" x14ac:dyDescent="0.3">
      <c r="A5">
        <v>120</v>
      </c>
      <c r="B5">
        <v>240</v>
      </c>
      <c r="C5">
        <f t="shared" ref="C5:C11" si="7">A5/B5</f>
        <v>0.5</v>
      </c>
      <c r="D5">
        <v>1.8</v>
      </c>
      <c r="E5">
        <v>120</v>
      </c>
      <c r="F5">
        <v>12</v>
      </c>
      <c r="G5">
        <v>0.6</v>
      </c>
      <c r="H5">
        <v>13</v>
      </c>
      <c r="I5">
        <v>600</v>
      </c>
      <c r="J5">
        <f t="shared" si="0"/>
        <v>62.831853071795862</v>
      </c>
      <c r="K5">
        <f t="shared" si="1"/>
        <v>816.81408993334617</v>
      </c>
      <c r="L5">
        <v>1</v>
      </c>
      <c r="M5">
        <v>0</v>
      </c>
      <c r="N5">
        <f>(A5- SQRT(A5^2 - 4*G5*K5)) / (2*G5)</f>
        <v>7.0556984885871312</v>
      </c>
      <c r="O5">
        <f t="shared" si="2"/>
        <v>906.68381863045579</v>
      </c>
      <c r="P5">
        <f t="shared" si="3"/>
        <v>90.08808507988401</v>
      </c>
      <c r="Q5">
        <f t="shared" si="4"/>
        <v>60</v>
      </c>
      <c r="R5">
        <f t="shared" si="5"/>
        <v>29.869728697110432</v>
      </c>
      <c r="S5">
        <f t="shared" si="6"/>
        <v>89.869728697110432</v>
      </c>
    </row>
    <row r="6" spans="1:19" x14ac:dyDescent="0.3">
      <c r="A6">
        <v>140</v>
      </c>
      <c r="B6">
        <v>240</v>
      </c>
      <c r="C6">
        <f t="shared" si="7"/>
        <v>0.58333333333333337</v>
      </c>
      <c r="D6">
        <v>1.8</v>
      </c>
      <c r="E6">
        <v>120</v>
      </c>
      <c r="F6">
        <v>12</v>
      </c>
      <c r="G6">
        <v>0.6</v>
      </c>
      <c r="H6">
        <v>16</v>
      </c>
      <c r="I6">
        <v>700</v>
      </c>
      <c r="J6">
        <f t="shared" si="0"/>
        <v>73.303828583761828</v>
      </c>
      <c r="K6">
        <f t="shared" si="1"/>
        <v>1172.8612573401892</v>
      </c>
      <c r="L6">
        <v>1</v>
      </c>
      <c r="M6">
        <v>0</v>
      </c>
      <c r="N6">
        <f t="shared" ref="N6:N11" si="8">(A6 - SQRT(A6^2 - 4*G6*K6)) / (2*G6)</f>
        <v>8.7021245758604717</v>
      </c>
      <c r="O6">
        <f t="shared" si="2"/>
        <v>1299.9641072871327</v>
      </c>
      <c r="P6">
        <f t="shared" si="3"/>
        <v>90.222587744196119</v>
      </c>
      <c r="Q6">
        <f t="shared" si="4"/>
        <v>81.666666666666686</v>
      </c>
      <c r="R6">
        <f t="shared" si="5"/>
        <v>45.436183280276872</v>
      </c>
      <c r="S6">
        <f t="shared" si="6"/>
        <v>127.10284994694356</v>
      </c>
    </row>
    <row r="7" spans="1:19" x14ac:dyDescent="0.3">
      <c r="A7">
        <v>160</v>
      </c>
      <c r="B7">
        <v>240</v>
      </c>
      <c r="C7">
        <f t="shared" si="7"/>
        <v>0.66666666666666663</v>
      </c>
      <c r="D7">
        <v>1.8</v>
      </c>
      <c r="E7">
        <v>120</v>
      </c>
      <c r="F7">
        <v>12</v>
      </c>
      <c r="G7">
        <v>0.6</v>
      </c>
      <c r="H7">
        <v>19</v>
      </c>
      <c r="I7">
        <v>800</v>
      </c>
      <c r="J7">
        <f t="shared" si="0"/>
        <v>83.775804095727821</v>
      </c>
      <c r="K7">
        <f t="shared" si="1"/>
        <v>1591.7402778188286</v>
      </c>
      <c r="L7">
        <v>1</v>
      </c>
      <c r="M7">
        <v>0</v>
      </c>
      <c r="N7">
        <f t="shared" si="8"/>
        <v>10.350093358341635</v>
      </c>
      <c r="O7">
        <f t="shared" si="2"/>
        <v>1762.6816040013282</v>
      </c>
      <c r="P7">
        <f t="shared" si="3"/>
        <v>90.302200590596797</v>
      </c>
      <c r="Q7">
        <f t="shared" si="4"/>
        <v>106.66666666666666</v>
      </c>
      <c r="R7">
        <f t="shared" si="5"/>
        <v>64.274659515832568</v>
      </c>
      <c r="S7">
        <f t="shared" si="6"/>
        <v>170.94132618249921</v>
      </c>
    </row>
    <row r="8" spans="1:19" x14ac:dyDescent="0.3">
      <c r="A8">
        <v>180</v>
      </c>
      <c r="B8">
        <v>240</v>
      </c>
      <c r="C8">
        <f t="shared" si="7"/>
        <v>0.75</v>
      </c>
      <c r="D8">
        <v>1.8</v>
      </c>
      <c r="E8">
        <v>120</v>
      </c>
      <c r="F8">
        <v>12</v>
      </c>
      <c r="G8">
        <v>0.6</v>
      </c>
      <c r="H8">
        <v>22</v>
      </c>
      <c r="I8">
        <v>900</v>
      </c>
      <c r="J8">
        <f t="shared" si="0"/>
        <v>94.247779607693786</v>
      </c>
      <c r="K8">
        <f>H8* J8</f>
        <v>2073.4511513692632</v>
      </c>
      <c r="L8">
        <v>1</v>
      </c>
      <c r="M8">
        <v>0</v>
      </c>
      <c r="N8">
        <f t="shared" si="8"/>
        <v>11.999101158538727</v>
      </c>
      <c r="O8">
        <f t="shared" si="2"/>
        <v>2294.8382085369708</v>
      </c>
      <c r="P8">
        <f t="shared" si="3"/>
        <v>90.352825033846358</v>
      </c>
      <c r="Q8">
        <f t="shared" si="4"/>
        <v>135</v>
      </c>
      <c r="R8">
        <f t="shared" si="5"/>
        <v>86.387057167707255</v>
      </c>
      <c r="S8">
        <f t="shared" si="6"/>
        <v>221.38705716770727</v>
      </c>
    </row>
    <row r="9" spans="1:19" x14ac:dyDescent="0.3">
      <c r="A9">
        <v>200</v>
      </c>
      <c r="B9">
        <v>240</v>
      </c>
      <c r="C9">
        <f t="shared" si="7"/>
        <v>0.83333333333333337</v>
      </c>
      <c r="D9">
        <v>1.8</v>
      </c>
      <c r="E9">
        <v>120</v>
      </c>
      <c r="F9">
        <v>12</v>
      </c>
      <c r="G9">
        <v>0.6</v>
      </c>
      <c r="H9">
        <v>25</v>
      </c>
      <c r="I9">
        <v>1000</v>
      </c>
      <c r="J9">
        <f t="shared" si="0"/>
        <v>104.71975511965977</v>
      </c>
      <c r="K9">
        <f>H9* J9</f>
        <v>2617.9938779914942</v>
      </c>
      <c r="L9">
        <v>1</v>
      </c>
      <c r="M9">
        <v>0</v>
      </c>
      <c r="N9">
        <f t="shared" si="8"/>
        <v>13.64884205857744</v>
      </c>
      <c r="O9">
        <f t="shared" si="2"/>
        <v>2896.4350783821546</v>
      </c>
      <c r="P9">
        <f t="shared" si="3"/>
        <v>90.386761903664421</v>
      </c>
      <c r="Q9">
        <f xml:space="preserve"> (C9^2 )*B9</f>
        <v>166.66666666666669</v>
      </c>
      <c r="R9">
        <f t="shared" si="5"/>
        <v>111.77453372399546</v>
      </c>
      <c r="S9">
        <f t="shared" si="6"/>
        <v>278.44120039066217</v>
      </c>
    </row>
    <row r="10" spans="1:19" x14ac:dyDescent="0.3">
      <c r="A10">
        <v>220</v>
      </c>
      <c r="B10">
        <v>240</v>
      </c>
      <c r="C10">
        <f t="shared" si="7"/>
        <v>0.91666666666666663</v>
      </c>
      <c r="D10">
        <v>1.8</v>
      </c>
      <c r="E10">
        <v>120</v>
      </c>
      <c r="F10">
        <v>12</v>
      </c>
      <c r="G10">
        <v>0.6</v>
      </c>
      <c r="H10">
        <v>28.2</v>
      </c>
      <c r="I10">
        <v>1100</v>
      </c>
      <c r="J10">
        <f t="shared" si="0"/>
        <v>115.19173063162575</v>
      </c>
      <c r="K10">
        <f>H10* J10</f>
        <v>3248.4068038118457</v>
      </c>
      <c r="L10">
        <v>1</v>
      </c>
      <c r="M10">
        <v>0</v>
      </c>
      <c r="N10">
        <f t="shared" si="8"/>
        <v>15.413412622821147</v>
      </c>
      <c r="O10">
        <f t="shared" si="2"/>
        <v>3592.6174436873189</v>
      </c>
      <c r="P10">
        <f t="shared" si="3"/>
        <v>90.418945371422879</v>
      </c>
      <c r="Q10">
        <f xml:space="preserve"> (C10^2 )*B10</f>
        <v>201.66666666666663</v>
      </c>
      <c r="R10">
        <f t="shared" si="5"/>
        <v>142.54397320880534</v>
      </c>
      <c r="S10">
        <f t="shared" si="6"/>
        <v>344.210639875472</v>
      </c>
    </row>
    <row r="11" spans="1:19" x14ac:dyDescent="0.3">
      <c r="A11">
        <v>240</v>
      </c>
      <c r="B11">
        <v>240</v>
      </c>
      <c r="C11">
        <f t="shared" si="7"/>
        <v>1</v>
      </c>
      <c r="D11">
        <v>1.8</v>
      </c>
      <c r="E11">
        <v>120</v>
      </c>
      <c r="F11">
        <v>12</v>
      </c>
      <c r="G11">
        <v>0.6</v>
      </c>
      <c r="H11">
        <v>29.2</v>
      </c>
      <c r="I11">
        <v>1220</v>
      </c>
      <c r="J11">
        <f t="shared" si="0"/>
        <v>127.75810124598493</v>
      </c>
      <c r="K11">
        <f>H11* J11</f>
        <v>3730.53655638276</v>
      </c>
      <c r="L11">
        <v>1</v>
      </c>
      <c r="M11">
        <v>0</v>
      </c>
      <c r="N11">
        <f t="shared" si="8"/>
        <v>16.200002522591415</v>
      </c>
      <c r="O11">
        <f t="shared" si="2"/>
        <v>4128.0006054219393</v>
      </c>
      <c r="P11">
        <f t="shared" si="3"/>
        <v>90.371511852078498</v>
      </c>
      <c r="Q11">
        <f xml:space="preserve"> (C11^2 )*B11</f>
        <v>240</v>
      </c>
      <c r="R11">
        <f t="shared" si="5"/>
        <v>157.46404903918094</v>
      </c>
      <c r="S11">
        <f t="shared" si="6"/>
        <v>397.46404903918096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RAGHAD HAYEL BARAKAT ALMADE</dc:creator>
  <cp:lastModifiedBy>RAGHAD HAYEL BARAKAT ALMADE</cp:lastModifiedBy>
  <dcterms:created xsi:type="dcterms:W3CDTF">2025-05-20T17:32:36Z</dcterms:created>
  <dcterms:modified xsi:type="dcterms:W3CDTF">2025-05-26T11:11:02Z</dcterms:modified>
</cp:coreProperties>
</file>